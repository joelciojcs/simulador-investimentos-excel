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ho\Desktop\transicao de carreira\dio\"/>
    </mc:Choice>
  </mc:AlternateContent>
  <xr:revisionPtr revIDLastSave="0" documentId="13_ncr:1_{5B64857F-D0F0-4863-A303-441B65A56AC2}" xr6:coauthVersionLast="47" xr6:coauthVersionMax="47" xr10:uidLastSave="{00000000-0000-0000-0000-000000000000}"/>
  <bookViews>
    <workbookView xWindow="-120" yWindow="-120" windowWidth="29040" windowHeight="15720" tabRatio="542" activeTab="1" xr2:uid="{B60040CD-DBFD-479E-8A95-E1446E357E47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">Planilha1!$D$17</definedName>
    <definedName name="rendimento_carteira">Planilha1!$D$12</definedName>
    <definedName name="sugestao_investimento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C30" i="1"/>
  <c r="D30" i="1" s="1"/>
  <c r="C29" i="1"/>
  <c r="D29" i="1" s="1"/>
  <c r="C28" i="1"/>
  <c r="C27" i="1"/>
  <c r="C26" i="1"/>
  <c r="C25" i="1"/>
  <c r="D25" i="1" s="1"/>
  <c r="C24" i="1"/>
  <c r="D24" i="1" s="1"/>
  <c r="C23" i="1"/>
  <c r="D23" i="1" s="1"/>
  <c r="D26" i="1"/>
  <c r="A16" i="2"/>
  <c r="A17" i="2"/>
  <c r="A18" i="2"/>
  <c r="A19" i="2"/>
  <c r="A20" i="2"/>
  <c r="A15" i="2"/>
  <c r="A14" i="2"/>
  <c r="A10" i="2"/>
  <c r="A11" i="2"/>
  <c r="A12" i="2"/>
  <c r="A13" i="2"/>
  <c r="A9" i="2"/>
  <c r="A8" i="2"/>
  <c r="A4" i="2"/>
  <c r="A5" i="2"/>
  <c r="A6" i="2"/>
  <c r="A7" i="2"/>
  <c r="C41" i="1" s="1"/>
  <c r="C33" i="1"/>
  <c r="D19" i="1"/>
  <c r="D20" i="1" s="1"/>
  <c r="D13" i="1"/>
  <c r="D27" i="1"/>
  <c r="D28" i="1"/>
  <c r="C36" i="1" l="1"/>
  <c r="D36" i="1" s="1"/>
  <c r="C40" i="1"/>
  <c r="D40" i="1" s="1"/>
  <c r="C39" i="1"/>
  <c r="D39" i="1" s="1"/>
  <c r="C37" i="1"/>
  <c r="D37" i="1" s="1"/>
  <c r="C38" i="1"/>
  <c r="D38" i="1" s="1"/>
  <c r="D41" i="1"/>
  <c r="D42" i="1" l="1"/>
</calcChain>
</file>

<file path=xl/sharedStrings.xml><?xml version="1.0" encoding="utf-8"?>
<sst xmlns="http://schemas.openxmlformats.org/spreadsheetml/2006/main" count="73" uniqueCount="39">
  <si>
    <t>INVESTIMENTO MENSAL</t>
  </si>
  <si>
    <t>Investimento Mensal</t>
  </si>
  <si>
    <t>Tempo de Investimento(Anos)</t>
  </si>
  <si>
    <t>Taxa Mensal</t>
  </si>
  <si>
    <t>Patrimônio Acumulado</t>
  </si>
  <si>
    <t>Dividendo Mensal</t>
  </si>
  <si>
    <t>CENÁRIOS</t>
  </si>
  <si>
    <t>DIVIDENDO</t>
  </si>
  <si>
    <t>CONFIGURAÇÕES</t>
  </si>
  <si>
    <t xml:space="preserve"> </t>
  </si>
  <si>
    <t>Salário</t>
  </si>
  <si>
    <t>Rendimento Carteira</t>
  </si>
  <si>
    <t>Patrimônio em 5 anos</t>
  </si>
  <si>
    <t>Patrimônio em 10 anos</t>
  </si>
  <si>
    <t>Patrimônio em 20 anos</t>
  </si>
  <si>
    <t>Patrimônio em 30 anos</t>
  </si>
  <si>
    <t>Agressivo</t>
  </si>
  <si>
    <t>PERFIL</t>
  </si>
  <si>
    <t>TIPO DE FII</t>
  </si>
  <si>
    <t>Percentual sugerido</t>
  </si>
  <si>
    <t>Valores</t>
  </si>
  <si>
    <t>FOF'S</t>
  </si>
  <si>
    <t>Conservador</t>
  </si>
  <si>
    <t>%</t>
  </si>
  <si>
    <t>CHAVE</t>
  </si>
  <si>
    <t>Moderado</t>
  </si>
  <si>
    <t>Valor Mensal a Investir</t>
  </si>
  <si>
    <t>Sugestão de Investimento (30%)</t>
  </si>
  <si>
    <t>Papel</t>
  </si>
  <si>
    <t>Tijolo</t>
  </si>
  <si>
    <t>Desenvolvimento</t>
  </si>
  <si>
    <t>Hotelarias</t>
  </si>
  <si>
    <t>Hibridos</t>
  </si>
  <si>
    <t>Patrimonio em 1 ano</t>
  </si>
  <si>
    <t>Patrimonio em 2 anos</t>
  </si>
  <si>
    <t>Patrimonio em 4 anos</t>
  </si>
  <si>
    <t>Patrimonio em 3 anos</t>
  </si>
  <si>
    <t>Tijolos</t>
  </si>
  <si>
    <t>TIPOS DE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</si>
</sst>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1" formatCode="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theme="0" tint="-0.24994659260841701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13" xfId="0" applyFont="1" applyBorder="1" applyAlignment="1">
      <alignment horizontal="left" vertical="center" indent="1"/>
    </xf>
    <xf numFmtId="0" fontId="7" fillId="0" borderId="19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left" vertical="center" indent="1"/>
    </xf>
    <xf numFmtId="0" fontId="7" fillId="0" borderId="20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7" fillId="0" borderId="13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left" vertical="center" indent="1"/>
    </xf>
    <xf numFmtId="9" fontId="0" fillId="0" borderId="0" xfId="2" applyFont="1"/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/>
    <xf numFmtId="0" fontId="0" fillId="4" borderId="20" xfId="0" applyFill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171" fontId="5" fillId="0" borderId="25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horizontal="center" vertical="center"/>
    </xf>
    <xf numFmtId="171" fontId="5" fillId="0" borderId="12" xfId="1" applyNumberFormat="1" applyFont="1" applyBorder="1" applyAlignment="1">
      <alignment horizontal="center"/>
    </xf>
    <xf numFmtId="171" fontId="5" fillId="0" borderId="14" xfId="1" applyNumberFormat="1" applyFont="1" applyBorder="1" applyAlignment="1">
      <alignment horizontal="center"/>
    </xf>
    <xf numFmtId="171" fontId="5" fillId="0" borderId="16" xfId="1" applyNumberFormat="1" applyFont="1" applyBorder="1" applyAlignment="1">
      <alignment horizontal="center"/>
    </xf>
    <xf numFmtId="171" fontId="5" fillId="0" borderId="18" xfId="1" applyNumberFormat="1" applyFont="1" applyBorder="1" applyAlignment="1">
      <alignment horizontal="center"/>
    </xf>
    <xf numFmtId="171" fontId="5" fillId="0" borderId="19" xfId="1" applyNumberFormat="1" applyFont="1" applyBorder="1" applyAlignment="1">
      <alignment horizontal="center"/>
    </xf>
    <xf numFmtId="171" fontId="5" fillId="0" borderId="20" xfId="1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71" fontId="5" fillId="0" borderId="14" xfId="0" applyNumberFormat="1" applyFont="1" applyBorder="1" applyAlignment="1">
      <alignment horizontal="center"/>
    </xf>
    <xf numFmtId="10" fontId="5" fillId="0" borderId="14" xfId="2" applyNumberFormat="1" applyFont="1" applyBorder="1" applyAlignment="1">
      <alignment horizontal="center"/>
    </xf>
    <xf numFmtId="171" fontId="5" fillId="0" borderId="16" xfId="0" applyNumberFormat="1" applyFont="1" applyBorder="1" applyAlignment="1">
      <alignment horizontal="center"/>
    </xf>
    <xf numFmtId="9" fontId="5" fillId="0" borderId="19" xfId="2" applyFont="1" applyBorder="1" applyAlignment="1">
      <alignment horizontal="center"/>
    </xf>
    <xf numFmtId="171" fontId="6" fillId="4" borderId="16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3" borderId="1" xfId="3" applyFont="1" applyFill="1" applyBorder="1" applyAlignment="1">
      <alignment horizontal="center" vertical="center"/>
    </xf>
    <xf numFmtId="0" fontId="8" fillId="3" borderId="8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9" fontId="0" fillId="0" borderId="4" xfId="2" applyFont="1" applyBorder="1" applyAlignment="1">
      <alignment horizontal="center"/>
    </xf>
    <xf numFmtId="9" fontId="0" fillId="0" borderId="4" xfId="2" applyNumberFormat="1" applyFont="1" applyBorder="1" applyAlignment="1">
      <alignment horizontal="center"/>
    </xf>
    <xf numFmtId="9" fontId="0" fillId="0" borderId="6" xfId="2" applyNumberFormat="1" applyFont="1" applyBorder="1" applyAlignment="1">
      <alignment horizontal="center"/>
    </xf>
    <xf numFmtId="9" fontId="0" fillId="0" borderId="4" xfId="2" applyNumberFormat="1" applyFont="1" applyFill="1" applyBorder="1" applyAlignment="1">
      <alignment horizontal="center"/>
    </xf>
    <xf numFmtId="9" fontId="0" fillId="0" borderId="6" xfId="2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1</xdr:row>
      <xdr:rowOff>16566</xdr:rowOff>
    </xdr:from>
    <xdr:to>
      <xdr:col>3</xdr:col>
      <xdr:colOff>977348</xdr:colOff>
      <xdr:row>8</xdr:row>
      <xdr:rowOff>124240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F77A435-58ED-48CD-A557-6FA434C321AD}"/>
            </a:ext>
          </a:extLst>
        </xdr:cNvPr>
        <xdr:cNvGrpSpPr/>
      </xdr:nvGrpSpPr>
      <xdr:grpSpPr>
        <a:xfrm>
          <a:off x="629479" y="207066"/>
          <a:ext cx="7752521" cy="1441174"/>
          <a:chOff x="579782" y="1606827"/>
          <a:chExt cx="7903219" cy="1441174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845A1AF7-DAA7-4932-8AD5-0E7B517D8D04}"/>
              </a:ext>
            </a:extLst>
          </xdr:cNvPr>
          <xdr:cNvGrpSpPr/>
        </xdr:nvGrpSpPr>
        <xdr:grpSpPr>
          <a:xfrm>
            <a:off x="579782" y="1606827"/>
            <a:ext cx="7903219" cy="1441174"/>
            <a:chOff x="579782" y="1606827"/>
            <a:chExt cx="7903219" cy="1739347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5A814F78-F5D6-49CE-938D-B0DCE634015D}"/>
                </a:ext>
              </a:extLst>
            </xdr:cNvPr>
            <xdr:cNvSpPr/>
          </xdr:nvSpPr>
          <xdr:spPr>
            <a:xfrm>
              <a:off x="579782" y="1606827"/>
              <a:ext cx="7903219" cy="1739347"/>
            </a:xfrm>
            <a:prstGeom prst="roundRect">
              <a:avLst/>
            </a:prstGeom>
            <a:solidFill>
              <a:schemeClr val="accent3"/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CCD639C4-85DA-47E4-91CB-0B3BF26DE06D}"/>
                </a:ext>
              </a:extLst>
            </xdr:cNvPr>
            <xdr:cNvSpPr/>
          </xdr:nvSpPr>
          <xdr:spPr>
            <a:xfrm>
              <a:off x="944217" y="1896718"/>
              <a:ext cx="7040218" cy="1176131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5000" b="1" cap="none" spc="50">
                  <a:ln w="0">
                    <a:solidFill>
                      <a:schemeClr val="bg1">
                        <a:lumMod val="95000"/>
                      </a:schemeClr>
                    </a:solidFill>
                  </a:ln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Bahnschrift SemiLight SemiConde" panose="020B0502040204020203" pitchFamily="34" charset="0"/>
                </a:rPr>
                <a:t>   J&amp;J</a:t>
              </a:r>
              <a:r>
                <a:rPr lang="pt-BR" sz="5000" b="1" cap="none" spc="50" baseline="0">
                  <a:ln w="0">
                    <a:solidFill>
                      <a:schemeClr val="bg1">
                        <a:lumMod val="95000"/>
                      </a:schemeClr>
                    </a:solidFill>
                  </a:ln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Bahnschrift SemiLight SemiConde" panose="020B0502040204020203" pitchFamily="34" charset="0"/>
                </a:rPr>
                <a:t> INVESTIMENTOS</a:t>
              </a:r>
              <a:endParaRPr lang="pt-BR" sz="5000" b="1" cap="none" spc="50">
                <a:ln w="0">
                  <a:solidFill>
                    <a:schemeClr val="bg1">
                      <a:lumMod val="95000"/>
                    </a:schemeClr>
                  </a:solidFill>
                </a:ln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Bahnschrift SemiLight SemiConde" panose="020B0502040204020203" pitchFamily="34" charset="0"/>
              </a:endParaRPr>
            </a:p>
          </xdr:txBody>
        </xdr:sp>
      </xdr:grpSp>
      <xdr:pic>
        <xdr:nvPicPr>
          <xdr:cNvPr id="9" name="Gráfico 8" descr="Banco com preenchimento sólido">
            <a:extLst>
              <a:ext uri="{FF2B5EF4-FFF2-40B4-BE49-F238E27FC236}">
                <a16:creationId xmlns:a16="http://schemas.microsoft.com/office/drawing/2014/main" id="{DB3EA1F8-865F-411C-A1B9-D938B0596F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93914" y="1901925"/>
            <a:ext cx="914400" cy="7576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8E64-ADFE-4C45-9AF7-AEBE2C478D6C}">
  <dimension ref="A9:L42"/>
  <sheetViews>
    <sheetView showGridLines="0" zoomScale="115" zoomScaleNormal="115" workbookViewId="0">
      <selection activeCell="B17" sqref="B17:C17"/>
    </sheetView>
  </sheetViews>
  <sheetFormatPr defaultColWidth="0" defaultRowHeight="15"/>
  <cols>
    <col min="1" max="1" width="9.42578125" customWidth="1"/>
    <col min="2" max="2" width="31.5703125" bestFit="1" customWidth="1"/>
    <col min="3" max="3" width="70" customWidth="1"/>
    <col min="4" max="4" width="14.85546875" customWidth="1"/>
    <col min="5" max="5" width="49.28515625" customWidth="1"/>
    <col min="6" max="6" width="1.5703125" bestFit="1" customWidth="1"/>
    <col min="7" max="7" width="25.140625" customWidth="1"/>
    <col min="8" max="8" width="1" customWidth="1"/>
    <col min="9" max="9" width="9.140625" hidden="1" customWidth="1"/>
    <col min="13" max="16384" width="9.140625" hidden="1"/>
  </cols>
  <sheetData>
    <row r="9" spans="2:6" ht="15.75" thickBot="1"/>
    <row r="10" spans="2:6" ht="20.100000000000001" customHeight="1">
      <c r="B10" s="23" t="s">
        <v>8</v>
      </c>
      <c r="C10" s="24"/>
      <c r="D10" s="25"/>
    </row>
    <row r="11" spans="2:6" ht="15.75">
      <c r="B11" s="15" t="s">
        <v>10</v>
      </c>
      <c r="C11" s="16"/>
      <c r="D11" s="42">
        <v>2000</v>
      </c>
      <c r="F11" t="s">
        <v>9</v>
      </c>
    </row>
    <row r="12" spans="2:6" ht="15.75">
      <c r="B12" s="15" t="s">
        <v>11</v>
      </c>
      <c r="C12" s="16"/>
      <c r="D12" s="43">
        <v>6.0000000000000001E-3</v>
      </c>
    </row>
    <row r="13" spans="2:6" ht="16.5" thickBot="1">
      <c r="B13" s="17" t="s">
        <v>27</v>
      </c>
      <c r="C13" s="18"/>
      <c r="D13" s="44">
        <f>D11*30%</f>
        <v>600</v>
      </c>
    </row>
    <row r="14" spans="2:6" ht="15.75" thickBot="1"/>
    <row r="15" spans="2:6" ht="20.100000000000001" customHeight="1">
      <c r="B15" s="1" t="s">
        <v>0</v>
      </c>
      <c r="C15" s="8"/>
      <c r="D15" s="11"/>
    </row>
    <row r="16" spans="2:6" ht="15.75">
      <c r="B16" s="13" t="s">
        <v>1</v>
      </c>
      <c r="C16" s="14"/>
      <c r="D16" s="34">
        <v>200</v>
      </c>
    </row>
    <row r="17" spans="1:4" ht="15.75">
      <c r="B17" s="15" t="s">
        <v>2</v>
      </c>
      <c r="C17" s="16"/>
      <c r="D17" s="40">
        <v>10</v>
      </c>
    </row>
    <row r="18" spans="1:4" ht="15.75">
      <c r="B18" s="15" t="s">
        <v>3</v>
      </c>
      <c r="C18" s="16"/>
      <c r="D18" s="41">
        <v>1.0789999999999999E-2</v>
      </c>
    </row>
    <row r="19" spans="1:4" ht="15.75">
      <c r="B19" s="15" t="s">
        <v>4</v>
      </c>
      <c r="C19" s="16"/>
      <c r="D19" s="35">
        <f>FV(taxa_mensal,qtd_ano*12,aporte*-1)</f>
        <v>48656.842506034438</v>
      </c>
    </row>
    <row r="20" spans="1:4" ht="16.5" thickBot="1">
      <c r="B20" s="17" t="s">
        <v>5</v>
      </c>
      <c r="C20" s="18"/>
      <c r="D20" s="36">
        <f>patrimonio*rendimento_carteira</f>
        <v>291.94105503620665</v>
      </c>
    </row>
    <row r="21" spans="1:4" ht="15.75" thickBot="1"/>
    <row r="22" spans="1:4" ht="20.100000000000001" customHeight="1">
      <c r="B22" s="9" t="s">
        <v>6</v>
      </c>
      <c r="C22" s="10"/>
      <c r="D22" s="2" t="s">
        <v>7</v>
      </c>
    </row>
    <row r="23" spans="1:4" ht="15.75">
      <c r="A23" s="3">
        <v>1</v>
      </c>
      <c r="B23" s="19" t="s">
        <v>33</v>
      </c>
      <c r="C23" s="37">
        <f>FV($D$18,A23*12,$D$16*-1)</f>
        <v>2547.6772001113118</v>
      </c>
      <c r="D23" s="34">
        <f>C23*rendimento_carteira</f>
        <v>15.28606320066787</v>
      </c>
    </row>
    <row r="24" spans="1:4" ht="15.75">
      <c r="A24" s="3">
        <v>2</v>
      </c>
      <c r="B24" s="19" t="s">
        <v>34</v>
      </c>
      <c r="C24" s="37">
        <f>FV($D$18,A24*12,$D$16*-1)</f>
        <v>5445.5254595290435</v>
      </c>
      <c r="D24" s="34">
        <f>C24*rendimento_carteira</f>
        <v>32.673152757174265</v>
      </c>
    </row>
    <row r="25" spans="1:4" ht="15.75">
      <c r="A25" s="3">
        <v>3</v>
      </c>
      <c r="B25" s="19" t="s">
        <v>36</v>
      </c>
      <c r="C25" s="37">
        <f>FV($D$18,A25*12,$D$16*-1)</f>
        <v>8741.6748046044213</v>
      </c>
      <c r="D25" s="34">
        <f>C25*rendimento_carteira</f>
        <v>52.450048827626532</v>
      </c>
    </row>
    <row r="26" spans="1:4" ht="15.75">
      <c r="A26" s="3">
        <v>4</v>
      </c>
      <c r="B26" s="19" t="s">
        <v>35</v>
      </c>
      <c r="C26" s="37">
        <f>FV($D$18,A26*12,$D$16*-1)</f>
        <v>12490.870598322032</v>
      </c>
      <c r="D26" s="34">
        <f>C26*rendimento_carteira</f>
        <v>74.945223589932198</v>
      </c>
    </row>
    <row r="27" spans="1:4" ht="15.75">
      <c r="A27" s="3">
        <v>5</v>
      </c>
      <c r="B27" s="20" t="s">
        <v>12</v>
      </c>
      <c r="C27" s="38">
        <f>FV($D$18,A27*12,$D$16*-1)</f>
        <v>16755.382799697527</v>
      </c>
      <c r="D27" s="35">
        <f>C27*rendimento_carteira</f>
        <v>100.53229679818516</v>
      </c>
    </row>
    <row r="28" spans="1:4" ht="15.75">
      <c r="A28" s="3">
        <v>10</v>
      </c>
      <c r="B28" s="20" t="s">
        <v>13</v>
      </c>
      <c r="C28" s="38">
        <f>FV($D$18,A28*12,$D$16*-1)</f>
        <v>48656.842506034438</v>
      </c>
      <c r="D28" s="35">
        <f>C28*rendimento_carteira</f>
        <v>291.94105503620665</v>
      </c>
    </row>
    <row r="29" spans="1:4" ht="15.75">
      <c r="A29" s="3">
        <v>20</v>
      </c>
      <c r="B29" s="20" t="s">
        <v>14</v>
      </c>
      <c r="C29" s="38">
        <f>FV($D$18,A29*12,$D$16*-1)</f>
        <v>225039.68001941612</v>
      </c>
      <c r="D29" s="35">
        <f>C29*rendimento_carteira</f>
        <v>1350.2380801164968</v>
      </c>
    </row>
    <row r="30" spans="1:4" ht="16.5" thickBot="1">
      <c r="A30" s="3">
        <v>30</v>
      </c>
      <c r="B30" s="21" t="s">
        <v>15</v>
      </c>
      <c r="C30" s="39">
        <f>FV($D$18,A30*12,$D$16*-1)</f>
        <v>864433.93100094295</v>
      </c>
      <c r="D30" s="36">
        <f>C30*rendimento_carteira</f>
        <v>5186.6035860056581</v>
      </c>
    </row>
    <row r="31" spans="1:4" ht="15.75" thickBot="1"/>
    <row r="32" spans="1:4" ht="20.100000000000001" customHeight="1">
      <c r="B32" s="49" t="s">
        <v>17</v>
      </c>
      <c r="C32" s="50" t="s">
        <v>25</v>
      </c>
      <c r="D32" s="51"/>
    </row>
    <row r="33" spans="2:4" ht="15" customHeight="1">
      <c r="B33" s="31" t="s">
        <v>26</v>
      </c>
      <c r="C33" s="32">
        <f>aporte</f>
        <v>200</v>
      </c>
      <c r="D33" s="48"/>
    </row>
    <row r="34" spans="2:4" ht="15" customHeight="1">
      <c r="B34" s="12"/>
      <c r="C34" s="33"/>
      <c r="D34" s="47"/>
    </row>
    <row r="35" spans="2:4">
      <c r="B35" s="27" t="s">
        <v>18</v>
      </c>
      <c r="C35" s="26" t="s">
        <v>19</v>
      </c>
      <c r="D35" s="28" t="s">
        <v>20</v>
      </c>
    </row>
    <row r="36" spans="2:4" ht="15.75">
      <c r="B36" s="20" t="s">
        <v>28</v>
      </c>
      <c r="C36" s="45">
        <f>VLOOKUP($C$32&amp;"-"&amp;B36,Planilha2!$A:$D,4,FALSE)</f>
        <v>0.32</v>
      </c>
      <c r="D36" s="42">
        <f>C36*$C$33</f>
        <v>64</v>
      </c>
    </row>
    <row r="37" spans="2:4" ht="15.75">
      <c r="B37" s="20" t="s">
        <v>29</v>
      </c>
      <c r="C37" s="45" t="e">
        <f>VLOOKUP($C$32&amp;"-"&amp;B37,Planilha2!$A:$D,4,FALSE)</f>
        <v>#N/A</v>
      </c>
      <c r="D37" s="42" t="e">
        <f t="shared" ref="D37:D41" si="0">C37*$C$33</f>
        <v>#N/A</v>
      </c>
    </row>
    <row r="38" spans="2:4" ht="15.75">
      <c r="B38" s="20" t="s">
        <v>32</v>
      </c>
      <c r="C38" s="45">
        <f>VLOOKUP($C$32&amp;"-"&amp;B38,Planilha2!$A:$D,4,FALSE)</f>
        <v>0.08</v>
      </c>
      <c r="D38" s="42">
        <f t="shared" si="0"/>
        <v>16</v>
      </c>
    </row>
    <row r="39" spans="2:4" ht="15.75">
      <c r="B39" s="20" t="s">
        <v>21</v>
      </c>
      <c r="C39" s="45">
        <f>VLOOKUP($C$32&amp;"-"&amp;B39,Planilha2!$A:$D,4,FALSE)</f>
        <v>0.05</v>
      </c>
      <c r="D39" s="42">
        <f t="shared" si="0"/>
        <v>10</v>
      </c>
    </row>
    <row r="40" spans="2:4" ht="15.75">
      <c r="B40" s="20" t="s">
        <v>30</v>
      </c>
      <c r="C40" s="45">
        <f>VLOOKUP($C$32&amp;"-"&amp;B40,Planilha2!$A:$D,4,FALSE)</f>
        <v>0.1</v>
      </c>
      <c r="D40" s="42">
        <f t="shared" si="0"/>
        <v>20</v>
      </c>
    </row>
    <row r="41" spans="2:4" ht="15.75">
      <c r="B41" s="20" t="s">
        <v>31</v>
      </c>
      <c r="C41" s="45">
        <f>VLOOKUP($C$32&amp;"-"&amp;B41,Planilha2!$A:$D,4,FALSE)</f>
        <v>0.1</v>
      </c>
      <c r="D41" s="42">
        <f t="shared" si="0"/>
        <v>20</v>
      </c>
    </row>
    <row r="42" spans="2:4" ht="16.5" thickBot="1">
      <c r="B42" s="29"/>
      <c r="C42" s="30"/>
      <c r="D42" s="46" t="e">
        <f>SUM(D36:D41)</f>
        <v>#N/A</v>
      </c>
    </row>
  </sheetData>
  <mergeCells count="14">
    <mergeCell ref="B33:B34"/>
    <mergeCell ref="C33:C34"/>
    <mergeCell ref="D33:D34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  <mergeCell ref="B11:C11"/>
    <mergeCell ref="B15:C15"/>
  </mergeCells>
  <dataValidations xWindow="946" yWindow="497" count="1">
    <dataValidation type="list" allowBlank="1" showInputMessage="1" showErrorMessage="1" promptTitle="Perfil de Investidor" prompt="Selecione seu Perfil de Investidor" sqref="C32" xr:uid="{8430BF69-7587-40F5-B3A0-0708B72FF8AC}">
      <formula1>"Conservador, 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14CE-3B0D-407D-ACD5-3825E558E65E}">
  <dimension ref="A1:H20"/>
  <sheetViews>
    <sheetView tabSelected="1" workbookViewId="0">
      <selection activeCell="G8" sqref="G8"/>
    </sheetView>
  </sheetViews>
  <sheetFormatPr defaultRowHeight="15"/>
  <cols>
    <col min="1" max="1" width="31.28515625" bestFit="1" customWidth="1"/>
    <col min="2" max="2" width="12.140625" bestFit="1" customWidth="1"/>
    <col min="3" max="3" width="19" bestFit="1" customWidth="1"/>
    <col min="4" max="4" width="11.140625" bestFit="1" customWidth="1"/>
    <col min="7" max="7" width="18.5703125" bestFit="1" customWidth="1"/>
  </cols>
  <sheetData>
    <row r="1" spans="1:8" ht="15.75" thickBot="1"/>
    <row r="2" spans="1:8">
      <c r="A2" s="52" t="s">
        <v>24</v>
      </c>
      <c r="B2" s="53" t="s">
        <v>17</v>
      </c>
      <c r="C2" s="53" t="s">
        <v>38</v>
      </c>
      <c r="D2" s="54" t="s">
        <v>23</v>
      </c>
    </row>
    <row r="3" spans="1:8">
      <c r="A3" s="4" t="str">
        <f>B3&amp;"-"&amp;C3</f>
        <v>Conservador-Papel</v>
      </c>
      <c r="B3" s="5" t="s">
        <v>22</v>
      </c>
      <c r="C3" s="5" t="s">
        <v>28</v>
      </c>
      <c r="D3" s="55">
        <v>0.3</v>
      </c>
    </row>
    <row r="4" spans="1:8">
      <c r="A4" s="4" t="str">
        <f t="shared" ref="A4:A7" si="0">B4&amp;"-"&amp;C4</f>
        <v>Conservador-Tijolos</v>
      </c>
      <c r="B4" s="5" t="s">
        <v>22</v>
      </c>
      <c r="C4" s="5" t="s">
        <v>37</v>
      </c>
      <c r="D4" s="56">
        <v>0.5</v>
      </c>
      <c r="H4" s="22"/>
    </row>
    <row r="5" spans="1:8">
      <c r="A5" s="4" t="str">
        <f t="shared" si="0"/>
        <v>Conservador-Hibridos</v>
      </c>
      <c r="B5" s="5" t="s">
        <v>22</v>
      </c>
      <c r="C5" s="5" t="s">
        <v>32</v>
      </c>
      <c r="D5" s="56">
        <v>0.1</v>
      </c>
      <c r="H5" s="22"/>
    </row>
    <row r="6" spans="1:8">
      <c r="A6" s="4" t="str">
        <f t="shared" si="0"/>
        <v>Conservador-FOF'S</v>
      </c>
      <c r="B6" s="5" t="s">
        <v>22</v>
      </c>
      <c r="C6" s="5" t="s">
        <v>21</v>
      </c>
      <c r="D6" s="56">
        <v>0.1</v>
      </c>
      <c r="H6" s="22"/>
    </row>
    <row r="7" spans="1:8">
      <c r="A7" s="4" t="str">
        <f t="shared" si="0"/>
        <v>Conservador-Desenvolvimento</v>
      </c>
      <c r="B7" s="5" t="s">
        <v>22</v>
      </c>
      <c r="C7" s="5" t="s">
        <v>30</v>
      </c>
      <c r="D7" s="56">
        <v>0</v>
      </c>
      <c r="H7" s="22"/>
    </row>
    <row r="8" spans="1:8" ht="15.75" thickBot="1">
      <c r="A8" s="6" t="str">
        <f>B8&amp;"-"&amp;C8</f>
        <v>Conservador-Hotelarias</v>
      </c>
      <c r="B8" s="7" t="s">
        <v>22</v>
      </c>
      <c r="C8" s="7" t="s">
        <v>31</v>
      </c>
      <c r="D8" s="57">
        <v>0</v>
      </c>
      <c r="H8" s="22"/>
    </row>
    <row r="9" spans="1:8">
      <c r="A9" s="4" t="str">
        <f>B9&amp;"-"&amp;C9</f>
        <v>Moderado-Papel</v>
      </c>
      <c r="B9" s="5" t="s">
        <v>25</v>
      </c>
      <c r="C9" s="5" t="s">
        <v>28</v>
      </c>
      <c r="D9" s="58">
        <v>0.32</v>
      </c>
      <c r="H9" s="22"/>
    </row>
    <row r="10" spans="1:8">
      <c r="A10" s="4" t="str">
        <f t="shared" ref="A10:A13" si="1">B10&amp;"-"&amp;C10</f>
        <v>Moderado-Tijolos</v>
      </c>
      <c r="B10" s="5" t="s">
        <v>25</v>
      </c>
      <c r="C10" s="5" t="s">
        <v>37</v>
      </c>
      <c r="D10" s="58">
        <v>0.35</v>
      </c>
      <c r="H10" s="22"/>
    </row>
    <row r="11" spans="1:8">
      <c r="A11" s="4" t="str">
        <f t="shared" si="1"/>
        <v>Moderado-Hibridos</v>
      </c>
      <c r="B11" s="5" t="s">
        <v>25</v>
      </c>
      <c r="C11" s="5" t="s">
        <v>32</v>
      </c>
      <c r="D11" s="58">
        <v>0.08</v>
      </c>
      <c r="H11" s="22"/>
    </row>
    <row r="12" spans="1:8">
      <c r="A12" s="4" t="str">
        <f t="shared" si="1"/>
        <v>Moderado-FOF'S</v>
      </c>
      <c r="B12" s="5" t="s">
        <v>25</v>
      </c>
      <c r="C12" s="5" t="s">
        <v>21</v>
      </c>
      <c r="D12" s="58">
        <v>0.05</v>
      </c>
      <c r="H12" s="22"/>
    </row>
    <row r="13" spans="1:8">
      <c r="A13" s="4" t="str">
        <f t="shared" si="1"/>
        <v>Moderado-Desenvolvimento</v>
      </c>
      <c r="B13" s="5" t="s">
        <v>25</v>
      </c>
      <c r="C13" s="5" t="s">
        <v>30</v>
      </c>
      <c r="D13" s="58">
        <v>0.1</v>
      </c>
      <c r="H13" s="22"/>
    </row>
    <row r="14" spans="1:8" ht="15.75" thickBot="1">
      <c r="A14" s="6" t="str">
        <f>B14&amp;"-"&amp;C14</f>
        <v>Moderado-Hotelarias</v>
      </c>
      <c r="B14" s="7" t="s">
        <v>25</v>
      </c>
      <c r="C14" s="7" t="s">
        <v>31</v>
      </c>
      <c r="D14" s="59">
        <v>0.1</v>
      </c>
      <c r="H14" s="22"/>
    </row>
    <row r="15" spans="1:8">
      <c r="A15" s="4" t="str">
        <f>B15&amp;"-"&amp;C3</f>
        <v>Agressivo-Papel</v>
      </c>
      <c r="B15" s="5" t="s">
        <v>16</v>
      </c>
      <c r="C15" s="5" t="s">
        <v>28</v>
      </c>
      <c r="D15" s="58">
        <v>0.5</v>
      </c>
      <c r="H15" s="22"/>
    </row>
    <row r="16" spans="1:8">
      <c r="A16" s="4" t="str">
        <f t="shared" ref="A16:A20" si="2">B16&amp;"-"&amp;C4</f>
        <v>Agressivo-Tijolos</v>
      </c>
      <c r="B16" s="5" t="s">
        <v>16</v>
      </c>
      <c r="C16" s="5" t="s">
        <v>37</v>
      </c>
      <c r="D16" s="58">
        <v>0.1</v>
      </c>
      <c r="H16" s="22"/>
    </row>
    <row r="17" spans="1:8">
      <c r="A17" s="4" t="str">
        <f t="shared" si="2"/>
        <v>Agressivo-Hibridos</v>
      </c>
      <c r="B17" s="5" t="s">
        <v>16</v>
      </c>
      <c r="C17" s="5" t="s">
        <v>32</v>
      </c>
      <c r="D17" s="58">
        <v>0.05</v>
      </c>
      <c r="H17" s="22"/>
    </row>
    <row r="18" spans="1:8">
      <c r="A18" s="4" t="str">
        <f t="shared" si="2"/>
        <v>Agressivo-FOF'S</v>
      </c>
      <c r="B18" s="5" t="s">
        <v>16</v>
      </c>
      <c r="C18" s="5" t="s">
        <v>21</v>
      </c>
      <c r="D18" s="58">
        <v>0.05</v>
      </c>
      <c r="H18" s="22"/>
    </row>
    <row r="19" spans="1:8">
      <c r="A19" s="4" t="str">
        <f t="shared" si="2"/>
        <v>Agressivo-Desenvolvimento</v>
      </c>
      <c r="B19" s="5" t="s">
        <v>16</v>
      </c>
      <c r="C19" s="5" t="s">
        <v>30</v>
      </c>
      <c r="D19" s="58">
        <v>0.2</v>
      </c>
      <c r="H19" s="22"/>
    </row>
    <row r="20" spans="1:8" ht="15.75" thickBot="1">
      <c r="A20" s="6" t="str">
        <f t="shared" si="2"/>
        <v>Agressivo-Hotelarias</v>
      </c>
      <c r="B20" s="7" t="s">
        <v>16</v>
      </c>
      <c r="C20" s="7" t="s">
        <v>31</v>
      </c>
      <c r="D20" s="59">
        <v>0.1</v>
      </c>
      <c r="H20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qtd_ano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Joelcio Costa Santos</dc:creator>
  <cp:lastModifiedBy>Joelcio Costa Santos</cp:lastModifiedBy>
  <dcterms:created xsi:type="dcterms:W3CDTF">2026-01-16T10:48:23Z</dcterms:created>
  <dcterms:modified xsi:type="dcterms:W3CDTF">2026-01-16T15:22:36Z</dcterms:modified>
</cp:coreProperties>
</file>